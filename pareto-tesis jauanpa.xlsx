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frainR\Downloads\"/>
    </mc:Choice>
  </mc:AlternateContent>
  <bookViews>
    <workbookView xWindow="0" yWindow="0" windowWidth="14850" windowHeight="714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5" i="1"/>
  <c r="H6" i="1" l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5" i="1"/>
  <c r="E17" i="1"/>
</calcChain>
</file>

<file path=xl/sharedStrings.xml><?xml version="1.0" encoding="utf-8"?>
<sst xmlns="http://schemas.openxmlformats.org/spreadsheetml/2006/main" count="40" uniqueCount="28">
  <si>
    <t>Requerimientos de usuario</t>
  </si>
  <si>
    <t>Descripción</t>
  </si>
  <si>
    <t>Importancia</t>
  </si>
  <si>
    <t>Relativa</t>
  </si>
  <si>
    <t>RU-1</t>
  </si>
  <si>
    <t>Mostrar datos del proceso de impresión como temperaturas, posiciones, filamento, etc.</t>
  </si>
  <si>
    <t>RU-2</t>
  </si>
  <si>
    <t>Mostrar ítems de datos disponibles de la máquina</t>
  </si>
  <si>
    <t>RU-3</t>
  </si>
  <si>
    <t>Reportar status de la máquina en tiempo real</t>
  </si>
  <si>
    <t>RU-4</t>
  </si>
  <si>
    <t>Permitir conexión de máquinas RepRap a internet</t>
  </si>
  <si>
    <t>RU-5</t>
  </si>
  <si>
    <t>Buena estabilidad de la comunicación</t>
  </si>
  <si>
    <t>RU-6</t>
  </si>
  <si>
    <t>Mantener seguridad de los datos</t>
  </si>
  <si>
    <t>RU-7</t>
  </si>
  <si>
    <t>Tener un cliente web compatible</t>
  </si>
  <si>
    <t>RU-8</t>
  </si>
  <si>
    <t>Interfaz de usuario amigable</t>
  </si>
  <si>
    <t>RU-9</t>
  </si>
  <si>
    <t>Bajo costo de adecuación en impresoras 3D RepRap</t>
  </si>
  <si>
    <t>RU-10</t>
  </si>
  <si>
    <t>Que almacene los datos recolectados y los permita descargar a manera de reporte en formato CSV o XLSX</t>
  </si>
  <si>
    <t>RU-11</t>
  </si>
  <si>
    <r>
      <t>Que esté disponible en la web para uso común (</t>
    </r>
    <r>
      <rPr>
        <i/>
        <sz val="11"/>
        <color rgb="FF000000"/>
        <rFont val="Arial"/>
        <family val="2"/>
      </rPr>
      <t>Open Source</t>
    </r>
    <r>
      <rPr>
        <sz val="11"/>
        <color rgb="FF000000"/>
        <rFont val="Arial"/>
        <family val="2"/>
      </rPr>
      <t>)</t>
    </r>
  </si>
  <si>
    <t>RU-12</t>
  </si>
  <si>
    <t>Simple de implementar en 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</si>
</sst>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/>
      <right style="medium">
        <color rgb="FF999999"/>
      </right>
      <top/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Análisis</a:t>
            </a:r>
            <a:r>
              <a:rPr lang="es-419" baseline="0"/>
              <a:t> de RUs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Plan1!$B$5:$B$16</c:f>
              <c:strCache>
                <c:ptCount val="12"/>
                <c:pt idx="0">
                  <c:v>RU-1</c:v>
                </c:pt>
                <c:pt idx="1">
                  <c:v>RU-3</c:v>
                </c:pt>
                <c:pt idx="2">
                  <c:v>RU-4</c:v>
                </c:pt>
                <c:pt idx="3">
                  <c:v>RU-6</c:v>
                </c:pt>
                <c:pt idx="4">
                  <c:v>RU-2</c:v>
                </c:pt>
                <c:pt idx="5">
                  <c:v>RU-5</c:v>
                </c:pt>
                <c:pt idx="6">
                  <c:v>RU-9</c:v>
                </c:pt>
                <c:pt idx="7">
                  <c:v>RU-7</c:v>
                </c:pt>
                <c:pt idx="8">
                  <c:v>RU-8</c:v>
                </c:pt>
                <c:pt idx="9">
                  <c:v>RU-10</c:v>
                </c:pt>
                <c:pt idx="10">
                  <c:v>RU-12</c:v>
                </c:pt>
                <c:pt idx="11">
                  <c:v>RU-11</c:v>
                </c:pt>
              </c:strCache>
            </c:strRef>
          </c:cat>
          <c:val>
            <c:numRef>
              <c:f>Plan1!$G$5:$G$16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8654464"/>
        <c:axId val="93865392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Plan1!$B$5:$B$16</c:f>
              <c:strCache>
                <c:ptCount val="12"/>
                <c:pt idx="0">
                  <c:v>RU-1</c:v>
                </c:pt>
                <c:pt idx="1">
                  <c:v>RU-3</c:v>
                </c:pt>
                <c:pt idx="2">
                  <c:v>RU-4</c:v>
                </c:pt>
                <c:pt idx="3">
                  <c:v>RU-6</c:v>
                </c:pt>
                <c:pt idx="4">
                  <c:v>RU-2</c:v>
                </c:pt>
                <c:pt idx="5">
                  <c:v>RU-5</c:v>
                </c:pt>
                <c:pt idx="6">
                  <c:v>RU-9</c:v>
                </c:pt>
                <c:pt idx="7">
                  <c:v>RU-7</c:v>
                </c:pt>
                <c:pt idx="8">
                  <c:v>RU-8</c:v>
                </c:pt>
                <c:pt idx="9">
                  <c:v>RU-10</c:v>
                </c:pt>
                <c:pt idx="10">
                  <c:v>RU-12</c:v>
                </c:pt>
                <c:pt idx="11">
                  <c:v>RU-11</c:v>
                </c:pt>
              </c:strCache>
            </c:strRef>
          </c:cat>
          <c:val>
            <c:numRef>
              <c:f>Plan1!$H$5:$H$16</c:f>
              <c:numCache>
                <c:formatCode>0%</c:formatCode>
                <c:ptCount val="12"/>
                <c:pt idx="0">
                  <c:v>0.10869565217391304</c:v>
                </c:pt>
                <c:pt idx="1">
                  <c:v>0.19565217391304346</c:v>
                </c:pt>
                <c:pt idx="2">
                  <c:v>0.30434782608695649</c:v>
                </c:pt>
                <c:pt idx="3">
                  <c:v>0.41304347826086951</c:v>
                </c:pt>
                <c:pt idx="4">
                  <c:v>0.49999999999999994</c:v>
                </c:pt>
                <c:pt idx="5">
                  <c:v>0.60869565217391297</c:v>
                </c:pt>
                <c:pt idx="6">
                  <c:v>0.67391304347826075</c:v>
                </c:pt>
                <c:pt idx="7">
                  <c:v>0.73913043478260854</c:v>
                </c:pt>
                <c:pt idx="8">
                  <c:v>0.82608695652173902</c:v>
                </c:pt>
                <c:pt idx="9">
                  <c:v>0.89130434782608681</c:v>
                </c:pt>
                <c:pt idx="10">
                  <c:v>0.934782608695652</c:v>
                </c:pt>
                <c:pt idx="11">
                  <c:v>0.99999999999999978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8648480"/>
        <c:axId val="938647392"/>
      </c:lineChart>
      <c:catAx>
        <c:axId val="93865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653920"/>
        <c:auto val="1"/>
        <c:lblAlgn val="ctr"/>
        <c:lblOffset val="100"/>
        <c:noMultiLvlLbl val="0"/>
      </c:catAx>
      <c:valAx>
        <c:axId val="9386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654464"/>
        <c:crossBetween val="between"/>
      </c:valAx>
      <c:valAx>
        <c:axId val="93864739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648480"/>
        <c:crosses val="max"/>
        <c:crossBetween val="between"/>
      </c:valAx>
      <c:catAx>
        <c:axId val="9386484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864739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noFill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90487</xdr:colOff>
      <xdr:row>4</xdr:row>
      <xdr:rowOff>42862</xdr:rowOff>
    </xdr:from>
    <xdr:to>
      <xdr:col>3</xdr:col>
      <xdr:colOff>3671887</xdr:colOff>
      <xdr:row>16</xdr:row>
      <xdr:rowOff>33337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2714625</xdr:colOff>
      <xdr:row>14</xdr:row>
      <xdr:rowOff>142875</xdr:rowOff>
    </xdr:from>
    <xdr:ext cx="457305" cy="264560"/>
    <xdr:sp macro="" textlink="">
      <xdr:nvSpPr>
        <xdr:cNvPr id="5" name="CaixaDeTexto 4"/>
        <xdr:cNvSpPr txBox="1"/>
      </xdr:nvSpPr>
      <xdr:spPr>
        <a:xfrm>
          <a:off x="4924425" y="3467100"/>
          <a:ext cx="4573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419" sz="1100"/>
            <a:t>Peso</a:t>
          </a:r>
          <a:endParaRPr lang="en-US" sz="1100"/>
        </a:p>
      </xdr:txBody>
    </xdr:sp>
    <xdr:clientData/>
  </xdr:oneCellAnchor>
  <xdr:oneCellAnchor>
    <xdr:from>
      <xdr:col>3</xdr:col>
      <xdr:colOff>1809750</xdr:colOff>
      <xdr:row>14</xdr:row>
      <xdr:rowOff>152400</xdr:rowOff>
    </xdr:from>
    <xdr:ext cx="879087" cy="264560"/>
    <xdr:sp macro="" textlink="">
      <xdr:nvSpPr>
        <xdr:cNvPr id="4" name="CaixaDeTexto 3"/>
        <xdr:cNvSpPr txBox="1"/>
      </xdr:nvSpPr>
      <xdr:spPr>
        <a:xfrm>
          <a:off x="4019550" y="3476625"/>
          <a:ext cx="87908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419" sz="1100"/>
            <a:t>Importancia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tabSelected="1" topLeftCell="E2" workbookViewId="0">
      <selection activeCell="I11" sqref="I11"/>
    </sheetView>
  </sheetViews>
  <sheetFormatPr defaultRowHeight="15" x14ac:dyDescent="0.25"/>
  <cols>
    <col min="3" max="3" width="14.85546875" bestFit="1" customWidth="1"/>
    <col min="4" max="4" width="65.28515625" customWidth="1"/>
    <col min="5" max="5" width="12.85546875" customWidth="1"/>
  </cols>
  <sheetData>
    <row r="2" spans="2:8" ht="15.75" thickBot="1" x14ac:dyDescent="0.3"/>
    <row r="3" spans="2:8" ht="30" x14ac:dyDescent="0.25">
      <c r="C3" s="6" t="s">
        <v>0</v>
      </c>
      <c r="D3" s="6" t="s">
        <v>1</v>
      </c>
      <c r="E3" s="1" t="s">
        <v>2</v>
      </c>
    </row>
    <row r="4" spans="2:8" ht="15.75" thickBot="1" x14ac:dyDescent="0.3">
      <c r="C4" s="7"/>
      <c r="D4" s="7"/>
      <c r="E4" s="2" t="s">
        <v>3</v>
      </c>
    </row>
    <row r="5" spans="2:8" ht="30" thickTop="1" thickBot="1" x14ac:dyDescent="0.3">
      <c r="B5" s="3" t="s">
        <v>4</v>
      </c>
      <c r="C5" s="3" t="s">
        <v>4</v>
      </c>
      <c r="D5" s="4" t="s">
        <v>5</v>
      </c>
      <c r="E5" s="5">
        <v>5</v>
      </c>
      <c r="F5" s="8">
        <f>E5/46</f>
        <v>0.10869565217391304</v>
      </c>
      <c r="G5" s="5">
        <v>5</v>
      </c>
      <c r="H5" s="8">
        <f>E5/46</f>
        <v>0.10869565217391304</v>
      </c>
    </row>
    <row r="6" spans="2:8" ht="15.75" thickBot="1" x14ac:dyDescent="0.3">
      <c r="B6" s="3" t="s">
        <v>8</v>
      </c>
      <c r="C6" s="3" t="s">
        <v>6</v>
      </c>
      <c r="D6" s="4" t="s">
        <v>7</v>
      </c>
      <c r="E6" s="5">
        <v>4</v>
      </c>
      <c r="F6" s="8">
        <f t="shared" ref="F6:F16" si="0">E6/46</f>
        <v>8.6956521739130432E-2</v>
      </c>
      <c r="G6" s="5">
        <v>5</v>
      </c>
      <c r="H6" s="8">
        <f>(E6/46)+H5</f>
        <v>0.19565217391304346</v>
      </c>
    </row>
    <row r="7" spans="2:8" ht="15.75" thickBot="1" x14ac:dyDescent="0.3">
      <c r="B7" s="3" t="s">
        <v>10</v>
      </c>
      <c r="C7" s="3" t="s">
        <v>8</v>
      </c>
      <c r="D7" s="4" t="s">
        <v>9</v>
      </c>
      <c r="E7" s="5">
        <v>5</v>
      </c>
      <c r="F7" s="8">
        <f t="shared" si="0"/>
        <v>0.10869565217391304</v>
      </c>
      <c r="G7" s="5">
        <v>5</v>
      </c>
      <c r="H7" s="8">
        <f>(E7/46)+H6</f>
        <v>0.30434782608695649</v>
      </c>
    </row>
    <row r="8" spans="2:8" ht="15.75" thickBot="1" x14ac:dyDescent="0.3">
      <c r="B8" s="3" t="s">
        <v>14</v>
      </c>
      <c r="C8" s="3" t="s">
        <v>10</v>
      </c>
      <c r="D8" s="4" t="s">
        <v>11</v>
      </c>
      <c r="E8" s="5">
        <v>5</v>
      </c>
      <c r="F8" s="8">
        <f t="shared" si="0"/>
        <v>0.10869565217391304</v>
      </c>
      <c r="G8" s="5">
        <v>5</v>
      </c>
      <c r="H8" s="8">
        <f>(E8/46)+H7</f>
        <v>0.41304347826086951</v>
      </c>
    </row>
    <row r="9" spans="2:8" ht="15.75" thickBot="1" x14ac:dyDescent="0.3">
      <c r="B9" s="3" t="s">
        <v>6</v>
      </c>
      <c r="C9" s="3" t="s">
        <v>12</v>
      </c>
      <c r="D9" s="4" t="s">
        <v>13</v>
      </c>
      <c r="E9" s="5">
        <v>4</v>
      </c>
      <c r="F9" s="8">
        <f t="shared" si="0"/>
        <v>8.6956521739130432E-2</v>
      </c>
      <c r="G9" s="5">
        <v>4</v>
      </c>
      <c r="H9" s="8">
        <f>(E9/46)+H8</f>
        <v>0.49999999999999994</v>
      </c>
    </row>
    <row r="10" spans="2:8" ht="15.75" thickBot="1" x14ac:dyDescent="0.3">
      <c r="B10" s="3" t="s">
        <v>12</v>
      </c>
      <c r="C10" s="3" t="s">
        <v>14</v>
      </c>
      <c r="D10" s="4" t="s">
        <v>15</v>
      </c>
      <c r="E10" s="5">
        <v>5</v>
      </c>
      <c r="F10" s="8">
        <f t="shared" si="0"/>
        <v>0.10869565217391304</v>
      </c>
      <c r="G10" s="5">
        <v>4</v>
      </c>
      <c r="H10" s="8">
        <f>(E10/46)+H9</f>
        <v>0.60869565217391297</v>
      </c>
    </row>
    <row r="11" spans="2:8" ht="15.75" thickBot="1" x14ac:dyDescent="0.3">
      <c r="B11" s="3" t="s">
        <v>20</v>
      </c>
      <c r="C11" s="3" t="s">
        <v>16</v>
      </c>
      <c r="D11" s="4" t="s">
        <v>17</v>
      </c>
      <c r="E11" s="5">
        <v>3</v>
      </c>
      <c r="F11" s="8">
        <f t="shared" si="0"/>
        <v>6.5217391304347824E-2</v>
      </c>
      <c r="G11" s="5">
        <v>4</v>
      </c>
      <c r="H11" s="8">
        <f>(E11/46)+H10</f>
        <v>0.67391304347826075</v>
      </c>
    </row>
    <row r="12" spans="2:8" ht="15.75" thickBot="1" x14ac:dyDescent="0.3">
      <c r="B12" s="3" t="s">
        <v>16</v>
      </c>
      <c r="C12" s="3" t="s">
        <v>18</v>
      </c>
      <c r="D12" s="4" t="s">
        <v>19</v>
      </c>
      <c r="E12" s="5">
        <v>3</v>
      </c>
      <c r="F12" s="8">
        <f t="shared" si="0"/>
        <v>6.5217391304347824E-2</v>
      </c>
      <c r="G12" s="5">
        <v>3</v>
      </c>
      <c r="H12" s="8">
        <f>(E12/46)+H11</f>
        <v>0.73913043478260854</v>
      </c>
    </row>
    <row r="13" spans="2:8" ht="15.75" thickBot="1" x14ac:dyDescent="0.3">
      <c r="B13" s="3" t="s">
        <v>18</v>
      </c>
      <c r="C13" s="3" t="s">
        <v>20</v>
      </c>
      <c r="D13" s="4" t="s">
        <v>21</v>
      </c>
      <c r="E13" s="5">
        <v>4</v>
      </c>
      <c r="F13" s="8">
        <f t="shared" si="0"/>
        <v>8.6956521739130432E-2</v>
      </c>
      <c r="G13" s="5">
        <v>3</v>
      </c>
      <c r="H13" s="8">
        <f>(E13/46)+H12</f>
        <v>0.82608695652173902</v>
      </c>
    </row>
    <row r="14" spans="2:8" ht="29.25" thickBot="1" x14ac:dyDescent="0.3">
      <c r="B14" s="3" t="s">
        <v>22</v>
      </c>
      <c r="C14" s="3" t="s">
        <v>22</v>
      </c>
      <c r="D14" s="4" t="s">
        <v>23</v>
      </c>
      <c r="E14" s="5">
        <v>3</v>
      </c>
      <c r="F14" s="8">
        <f t="shared" si="0"/>
        <v>6.5217391304347824E-2</v>
      </c>
      <c r="G14" s="5">
        <v>3</v>
      </c>
      <c r="H14" s="8">
        <f>(E14/46)+H13</f>
        <v>0.89130434782608681</v>
      </c>
    </row>
    <row r="15" spans="2:8" ht="15.75" thickBot="1" x14ac:dyDescent="0.3">
      <c r="B15" s="3" t="s">
        <v>26</v>
      </c>
      <c r="C15" s="3" t="s">
        <v>24</v>
      </c>
      <c r="D15" s="4" t="s">
        <v>25</v>
      </c>
      <c r="E15" s="5">
        <v>2</v>
      </c>
      <c r="F15" s="8">
        <f t="shared" si="0"/>
        <v>4.3478260869565216E-2</v>
      </c>
      <c r="G15" s="5">
        <v>3</v>
      </c>
      <c r="H15" s="8">
        <f>(E15/46)+H14</f>
        <v>0.934782608695652</v>
      </c>
    </row>
    <row r="16" spans="2:8" ht="15.75" thickBot="1" x14ac:dyDescent="0.3">
      <c r="B16" s="3" t="s">
        <v>24</v>
      </c>
      <c r="C16" s="3" t="s">
        <v>26</v>
      </c>
      <c r="D16" s="4" t="s">
        <v>27</v>
      </c>
      <c r="E16" s="5">
        <v>3</v>
      </c>
      <c r="F16" s="8">
        <f t="shared" si="0"/>
        <v>6.5217391304347824E-2</v>
      </c>
      <c r="G16" s="5">
        <v>2</v>
      </c>
      <c r="H16" s="8">
        <f>(E16/46)+H15</f>
        <v>0.99999999999999978</v>
      </c>
    </row>
    <row r="17" spans="5:5" x14ac:dyDescent="0.25">
      <c r="E17">
        <f>SUM(E5:E16)</f>
        <v>46</v>
      </c>
    </row>
  </sheetData>
  <mergeCells count="2">
    <mergeCell ref="C3:C4"/>
    <mergeCell ref="D3:D4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EfrainR</dc:creator>
  <cp:lastModifiedBy>EfrainR</cp:lastModifiedBy>
  <dcterms:created xsi:type="dcterms:W3CDTF">2019-07-11T04:00:38Z</dcterms:created>
  <dcterms:modified xsi:type="dcterms:W3CDTF">2019-07-11T07:57:23Z</dcterms:modified>
</cp:coreProperties>
</file>